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Turing\"/>
    </mc:Choice>
  </mc:AlternateContent>
  <xr:revisionPtr revIDLastSave="0" documentId="13_ncr:1_{1DE90F42-8EB9-4355-B56A-13F02B5B8E42}" xr6:coauthVersionLast="47" xr6:coauthVersionMax="47" xr10:uidLastSave="{00000000-0000-0000-0000-000000000000}"/>
  <bookViews>
    <workbookView xWindow="-108" yWindow="-108" windowWidth="23256" windowHeight="12456" xr2:uid="{BD74629D-7FAF-446C-ADF2-2D93822373CD}"/>
  </bookViews>
  <sheets>
    <sheet name="Overview" sheetId="7" r:id="rId1"/>
    <sheet name="Tables" sheetId="5" r:id="rId2"/>
  </sheets>
  <definedNames>
    <definedName name="_xlchart.v2.0" hidden="1">Tables!$G$4:$G$9</definedName>
    <definedName name="_xlchart.v2.1" hidden="1">Tables!$L$3</definedName>
    <definedName name="_xlchart.v2.10" hidden="1">Tables!$N$3</definedName>
    <definedName name="_xlchart.v2.11" hidden="1">Tables!$N$4:$N$9</definedName>
    <definedName name="_xlchart.v2.12" hidden="1">Tables!$G$4:$G$9</definedName>
    <definedName name="_xlchart.v2.13" hidden="1">Tables!$M$3</definedName>
    <definedName name="_xlchart.v2.14" hidden="1">Tables!$M$4:$M$9</definedName>
    <definedName name="_xlchart.v2.15" hidden="1">Tables!$B$25:$B$30</definedName>
    <definedName name="_xlchart.v2.16" hidden="1">Tables!$D$24</definedName>
    <definedName name="_xlchart.v2.17" hidden="1">Tables!$D$25:$D$30</definedName>
    <definedName name="_xlchart.v2.18" hidden="1">Tables!$G$4:$G$9</definedName>
    <definedName name="_xlchart.v2.19" hidden="1">Tables!$L$3</definedName>
    <definedName name="_xlchart.v2.2" hidden="1">Tables!$L$4:$L$9</definedName>
    <definedName name="_xlchart.v2.20" hidden="1">Tables!$L$4:$L$9</definedName>
    <definedName name="_xlchart.v2.21" hidden="1">Tables!$G$4:$G$9</definedName>
    <definedName name="_xlchart.v2.22" hidden="1">Tables!$N$3</definedName>
    <definedName name="_xlchart.v2.23" hidden="1">Tables!$N$4:$N$9</definedName>
    <definedName name="_xlchart.v2.3" hidden="1">Tables!$B$25:$B$30</definedName>
    <definedName name="_xlchart.v2.4" hidden="1">Tables!$D$24</definedName>
    <definedName name="_xlchart.v2.5" hidden="1">Tables!$D$25:$D$30</definedName>
    <definedName name="_xlchart.v2.6" hidden="1">Tables!$G$4:$G$9</definedName>
    <definedName name="_xlchart.v2.7" hidden="1">Tables!$M$3</definedName>
    <definedName name="_xlchart.v2.8" hidden="1">Tables!$M$4:$M$9</definedName>
    <definedName name="_xlchart.v2.9" hidden="1">Tables!$G$4:$G$9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7" l="1"/>
  <c r="G9" i="7"/>
  <c r="G10" i="7"/>
  <c r="G11" i="7"/>
  <c r="G12" i="7"/>
  <c r="G7" i="7"/>
  <c r="D17" i="7"/>
  <c r="E17" i="7"/>
  <c r="F17" i="7"/>
  <c r="G17" i="7"/>
  <c r="H17" i="7"/>
  <c r="I17" i="7"/>
  <c r="J17" i="7"/>
  <c r="K17" i="7"/>
  <c r="L17" i="7"/>
  <c r="D18" i="7"/>
  <c r="E18" i="7"/>
  <c r="F18" i="7"/>
  <c r="G18" i="7"/>
  <c r="H18" i="7"/>
  <c r="I18" i="7"/>
  <c r="J18" i="7"/>
  <c r="K18" i="7"/>
  <c r="L18" i="7"/>
  <c r="D19" i="7"/>
  <c r="E19" i="7"/>
  <c r="F19" i="7"/>
  <c r="G19" i="7"/>
  <c r="H19" i="7"/>
  <c r="I19" i="7"/>
  <c r="J19" i="7"/>
  <c r="K19" i="7"/>
  <c r="L19" i="7"/>
  <c r="D20" i="7"/>
  <c r="E20" i="7"/>
  <c r="F20" i="7"/>
  <c r="G20" i="7"/>
  <c r="H20" i="7"/>
  <c r="I20" i="7"/>
  <c r="J20" i="7"/>
  <c r="K20" i="7"/>
  <c r="L20" i="7"/>
  <c r="D21" i="7"/>
  <c r="E21" i="7"/>
  <c r="F21" i="7"/>
  <c r="G21" i="7"/>
  <c r="H21" i="7"/>
  <c r="I21" i="7"/>
  <c r="J21" i="7"/>
  <c r="K21" i="7"/>
  <c r="L21" i="7"/>
  <c r="D22" i="7"/>
  <c r="E22" i="7"/>
  <c r="F22" i="7"/>
  <c r="G22" i="7"/>
  <c r="H22" i="7"/>
  <c r="I22" i="7"/>
  <c r="J22" i="7"/>
  <c r="K22" i="7"/>
  <c r="L22" i="7"/>
  <c r="D23" i="7"/>
  <c r="E23" i="7"/>
  <c r="F23" i="7"/>
  <c r="G23" i="7"/>
  <c r="H23" i="7"/>
  <c r="I23" i="7"/>
  <c r="J23" i="7"/>
  <c r="K23" i="7"/>
  <c r="L23" i="7"/>
  <c r="L4" i="5"/>
  <c r="D26" i="5"/>
  <c r="D27" i="5"/>
  <c r="D28" i="5"/>
  <c r="D29" i="5"/>
  <c r="D30" i="5"/>
  <c r="D25" i="5"/>
  <c r="N5" i="5"/>
  <c r="N6" i="5"/>
  <c r="N7" i="5"/>
  <c r="N8" i="5"/>
  <c r="N9" i="5"/>
  <c r="N4" i="5"/>
  <c r="M5" i="5"/>
  <c r="M6" i="5"/>
  <c r="M7" i="5"/>
  <c r="M8" i="5"/>
  <c r="M9" i="5"/>
  <c r="M4" i="5"/>
  <c r="L5" i="5"/>
  <c r="L6" i="5"/>
  <c r="L7" i="5"/>
  <c r="L8" i="5"/>
  <c r="L9" i="5"/>
</calcChain>
</file>

<file path=xl/sharedStrings.xml><?xml version="1.0" encoding="utf-8"?>
<sst xmlns="http://schemas.openxmlformats.org/spreadsheetml/2006/main" count="75" uniqueCount="34">
  <si>
    <t>event_count</t>
  </si>
  <si>
    <t>Event</t>
  </si>
  <si>
    <t>page_view</t>
  </si>
  <si>
    <t>view_item</t>
  </si>
  <si>
    <t>begin_checkout</t>
  </si>
  <si>
    <t>add_to_cart</t>
  </si>
  <si>
    <t>add_payment_info</t>
  </si>
  <si>
    <t>purchase</t>
  </si>
  <si>
    <t>country</t>
  </si>
  <si>
    <t>event_name</t>
  </si>
  <si>
    <t>user_count</t>
  </si>
  <si>
    <t>Canada</t>
  </si>
  <si>
    <t>India</t>
  </si>
  <si>
    <t>United States</t>
  </si>
  <si>
    <t>Canada events</t>
  </si>
  <si>
    <t>India events</t>
  </si>
  <si>
    <t>event_order</t>
  </si>
  <si>
    <t>United State events</t>
  </si>
  <si>
    <t>Full_perc</t>
  </si>
  <si>
    <t>Canada_perc_drop</t>
  </si>
  <si>
    <t>India_perc_drop</t>
  </si>
  <si>
    <t>United_States_perc_drop</t>
  </si>
  <si>
    <t>Prec_drop</t>
  </si>
  <si>
    <t>Funnels by top preforming countries</t>
  </si>
  <si>
    <t>General funnel</t>
  </si>
  <si>
    <t>Page view</t>
  </si>
  <si>
    <t>View Item</t>
  </si>
  <si>
    <t>Add to cart</t>
  </si>
  <si>
    <t>Begin checkout</t>
  </si>
  <si>
    <t>Add payment info</t>
  </si>
  <si>
    <t>Purchase</t>
  </si>
  <si>
    <t>Event order</t>
  </si>
  <si>
    <t>Event count</t>
  </si>
  <si>
    <t>Prec. 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</si>
</sst>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Roboto"/>
    </font>
    <font>
      <sz val="10"/>
      <color theme="1"/>
      <name val="Roboto"/>
    </font>
    <font>
      <b/>
      <sz val="10"/>
      <color rgb="FF000000"/>
      <name val="Arial"/>
      <family val="2"/>
    </font>
    <font>
      <b/>
      <sz val="11"/>
      <color theme="2" tint="-0.8999908444471571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1" fillId="0" borderId="0" xfId="0" applyFont="1"/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10" fontId="0" fillId="0" borderId="0" xfId="0" applyNumberForma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Canada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accent5">
                  <a:lumMod val="50000"/>
                </a:schemeClr>
              </a:solidFill>
              <a:latin typeface="Aptos Narrow" panose="02110004020202020204"/>
            </a:rPr>
            <a:t>Canada</a:t>
          </a:r>
        </a:p>
      </cx:txPr>
    </cx:title>
    <cx:plotArea>
      <cx:plotAreaRegion>
        <cx:series layoutId="funnel" uniqueId="{B6FF9BE2-C0BD-44F5-933E-03865E6EEF3A}">
          <cx:tx>
            <cx:txData>
              <cx:f>_xlchart.v2.1</cx:f>
              <cx:v>Canada_perc_drop</cx:v>
            </cx:txData>
          </cx:tx>
          <cx:spPr>
            <a:solidFill>
              <a:schemeClr val="accent5">
                <a:lumMod val="20000"/>
                <a:lumOff val="80000"/>
              </a:schemeClr>
            </a:solidFill>
          </cx:spPr>
          <cx:dataPt idx="1">
            <cx:spPr>
              <a:solidFill>
                <a:srgbClr val="A02B93">
                  <a:lumMod val="40000"/>
                  <a:lumOff val="60000"/>
                </a:srgbClr>
              </a:solidFill>
            </cx:spPr>
          </cx:dataPt>
          <cx:dataPt idx="2">
            <cx:spPr>
              <a:solidFill>
                <a:srgbClr val="A02B93">
                  <a:lumMod val="60000"/>
                  <a:lumOff val="40000"/>
                </a:srgbClr>
              </a:solidFill>
            </cx:spPr>
          </cx:dataPt>
          <cx:dataPt idx="3">
            <cx:spPr>
              <a:solidFill>
                <a:srgbClr val="A02B93">
                  <a:lumMod val="75000"/>
                </a:srgbClr>
              </a:solidFill>
            </cx:spPr>
          </cx:dataPt>
          <cx:dataPt idx="4">
            <cx:spPr>
              <a:solidFill>
                <a:srgbClr val="A02B93">
                  <a:lumMod val="50000"/>
                </a:srgbClr>
              </a:solidFill>
            </cx:spPr>
          </cx:dataPt>
          <cx:dataPt idx="5">
            <cx:spPr>
              <a:solidFill>
                <a:srgbClr val="E8E8E8">
                  <a:lumMod val="10000"/>
                </a:srgbClr>
              </a:solidFill>
            </cx:spPr>
          </cx:dataPt>
          <cx:dataId val="0"/>
        </cx:series>
      </cx:plotAreaRegion>
      <cx:axis id="0">
        <cx:catScaling gapWidth="0.0599999987"/>
        <cx:tickLabels/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val">
        <cx:f>_xlchart.v2.8</cx:f>
      </cx:numDim>
    </cx:data>
  </cx:chartData>
  <cx:chart>
    <cx:title pos="t" align="ctr" overlay="0">
      <cx:tx>
        <cx:txData>
          <cx:v>India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accent5">
                  <a:lumMod val="50000"/>
                </a:schemeClr>
              </a:solidFill>
              <a:latin typeface="Aptos Narrow" panose="02110004020202020204"/>
            </a:rPr>
            <a:t>India</a:t>
          </a:r>
        </a:p>
      </cx:txPr>
    </cx:title>
    <cx:plotArea>
      <cx:plotAreaRegion>
        <cx:series layoutId="funnel" uniqueId="{891F6CFB-5866-4A14-A467-EBA3DFBDF9E9}">
          <cx:tx>
            <cx:txData>
              <cx:f>_xlchart.v2.7</cx:f>
              <cx:v>India_perc_drop</cx:v>
            </cx:txData>
          </cx:tx>
          <cx:dataPt idx="0">
            <cx:spPr>
              <a:solidFill>
                <a:srgbClr val="A02B93">
                  <a:lumMod val="20000"/>
                  <a:lumOff val="80000"/>
                </a:srgbClr>
              </a:solidFill>
            </cx:spPr>
          </cx:dataPt>
          <cx:dataPt idx="1">
            <cx:spPr>
              <a:solidFill>
                <a:srgbClr val="A02B93">
                  <a:lumMod val="40000"/>
                  <a:lumOff val="60000"/>
                </a:srgbClr>
              </a:solidFill>
            </cx:spPr>
          </cx:dataPt>
          <cx:dataPt idx="2">
            <cx:spPr>
              <a:solidFill>
                <a:srgbClr val="A02B93">
                  <a:lumMod val="60000"/>
                  <a:lumOff val="40000"/>
                </a:srgbClr>
              </a:solidFill>
            </cx:spPr>
          </cx:dataPt>
          <cx:dataPt idx="3">
            <cx:spPr>
              <a:solidFill>
                <a:srgbClr val="A02B93">
                  <a:lumMod val="75000"/>
                </a:srgbClr>
              </a:solidFill>
            </cx:spPr>
          </cx:dataPt>
          <cx:dataPt idx="4">
            <cx:spPr>
              <a:solidFill>
                <a:srgbClr val="A02B93">
                  <a:lumMod val="50000"/>
                </a:srgbClr>
              </a:solidFill>
            </cx:spPr>
          </cx:dataPt>
          <cx:dataPt idx="5">
            <cx:spPr>
              <a:solidFill>
                <a:sysClr val="windowText" lastClr="000000"/>
              </a:solidFill>
            </cx:spPr>
          </cx:dataPt>
          <cx:dataId val="0"/>
        </cx:series>
      </cx:plotAreaRegion>
      <cx:axis id="0">
        <cx:catScaling gapWidth="0.0599999987"/>
        <cx:tickLabels/>
      </cx:axis>
    </cx:plotArea>
  </cx:chart>
  <cx:spPr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_xlchart.v2.9</cx:f>
      </cx:strDim>
      <cx:numDim type="val">
        <cx:f>_xlchart.v2.11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baseline="0">
                <a:solidFill>
                  <a:schemeClr val="accent5">
                    <a:lumMod val="50000"/>
                  </a:schemeClr>
                </a:solidFill>
                <a:latin typeface="Aptos Narrow" panose="02110004020202020204"/>
              </a:rPr>
              <a:t>US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 </a:t>
            </a:r>
          </a:p>
        </cx:rich>
      </cx:tx>
    </cx:title>
    <cx:plotArea>
      <cx:plotAreaRegion>
        <cx:series layoutId="funnel" uniqueId="{243A6812-4D94-4C28-9C19-D6C7E2816F7F}">
          <cx:tx>
            <cx:txData>
              <cx:f>_xlchart.v2.10</cx:f>
              <cx:v>United_States_perc_drop</cx:v>
            </cx:txData>
          </cx:tx>
          <cx:dataPt idx="0">
            <cx:spPr>
              <a:solidFill>
                <a:srgbClr val="A02B93">
                  <a:lumMod val="20000"/>
                  <a:lumOff val="80000"/>
                </a:srgbClr>
              </a:solidFill>
            </cx:spPr>
          </cx:dataPt>
          <cx:dataPt idx="1">
            <cx:spPr>
              <a:solidFill>
                <a:srgbClr val="A02B93">
                  <a:lumMod val="40000"/>
                  <a:lumOff val="60000"/>
                </a:srgbClr>
              </a:solidFill>
            </cx:spPr>
          </cx:dataPt>
          <cx:dataPt idx="2">
            <cx:spPr>
              <a:solidFill>
                <a:srgbClr val="A02B93">
                  <a:lumMod val="60000"/>
                  <a:lumOff val="40000"/>
                </a:srgbClr>
              </a:solidFill>
            </cx:spPr>
          </cx:dataPt>
          <cx:dataPt idx="3">
            <cx:spPr>
              <a:solidFill>
                <a:srgbClr val="A02B93">
                  <a:lumMod val="75000"/>
                </a:srgbClr>
              </a:solidFill>
            </cx:spPr>
          </cx:dataPt>
          <cx:dataPt idx="4">
            <cx:spPr>
              <a:solidFill>
                <a:srgbClr val="A02B93">
                  <a:lumMod val="50000"/>
                </a:srgbClr>
              </a:solidFill>
            </cx:spPr>
          </cx:dataPt>
          <cx:dataPt idx="5">
            <cx:spPr>
              <a:solidFill>
                <a:srgbClr val="E8E8E8">
                  <a:lumMod val="10000"/>
                </a:srgbClr>
              </a:solidFill>
            </cx:spPr>
          </cx:dataPt>
          <cx:dataId val="0"/>
        </cx:series>
      </cx:plotAreaRegion>
      <cx:axis id="0">
        <cx:catScaling gapWidth="0.0599999987"/>
        <cx:tickLabels/>
      </cx:axis>
    </cx:plotArea>
  </cx:chart>
  <cx:spPr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1" i="0" u="none" strike="noStrike" baseline="0">
                <a:solidFill>
                  <a:schemeClr val="accent5">
                    <a:lumMod val="50000"/>
                  </a:schemeClr>
                </a:solidFill>
                <a:latin typeface="Aptos Narrow" panose="02110004020202020204"/>
              </a:rPr>
              <a:t>General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 </a:t>
            </a:r>
          </a:p>
        </cx:rich>
      </cx:tx>
      <cx:spPr>
        <a:noFill/>
      </cx:spPr>
    </cx:title>
    <cx:plotArea>
      <cx:plotAreaRegion>
        <cx:series layoutId="funnel" uniqueId="{CF1D294E-1A86-4159-A2A8-BB05205FFE14}">
          <cx:tx>
            <cx:txData>
              <cx:f>_xlchart.v2.4</cx:f>
              <cx:v>Prec_drop</cx:v>
            </cx:txData>
          </cx:tx>
          <cx:spPr>
            <a:solidFill>
              <a:srgbClr val="FF0000"/>
            </a:solidFill>
          </cx:spPr>
          <cx:dataPt idx="0">
            <cx:spPr>
              <a:solidFill>
                <a:srgbClr val="A02B93">
                  <a:lumMod val="20000"/>
                  <a:lumOff val="80000"/>
                </a:srgbClr>
              </a:solidFill>
            </cx:spPr>
          </cx:dataPt>
          <cx:dataPt idx="1">
            <cx:spPr>
              <a:solidFill>
                <a:srgbClr val="A02B93">
                  <a:lumMod val="40000"/>
                  <a:lumOff val="60000"/>
                </a:srgbClr>
              </a:solidFill>
            </cx:spPr>
          </cx:dataPt>
          <cx:dataPt idx="2">
            <cx:spPr>
              <a:solidFill>
                <a:srgbClr val="A02B93">
                  <a:lumMod val="60000"/>
                  <a:lumOff val="40000"/>
                </a:srgbClr>
              </a:solidFill>
            </cx:spPr>
          </cx:dataPt>
          <cx:dataPt idx="3">
            <cx:spPr>
              <a:solidFill>
                <a:srgbClr val="A02B93">
                  <a:lumMod val="75000"/>
                </a:srgbClr>
              </a:solidFill>
            </cx:spPr>
          </cx:dataPt>
          <cx:dataPt idx="4">
            <cx:spPr>
              <a:solidFill>
                <a:srgbClr val="A02B93">
                  <a:lumMod val="50000"/>
                </a:srgbClr>
              </a:solidFill>
            </cx:spPr>
          </cx:dataPt>
          <cx:dataPt idx="5">
            <cx:spPr>
              <a:solidFill>
                <a:srgbClr val="E8E8E8">
                  <a:lumMod val="10000"/>
                </a:srgbClr>
              </a:solidFill>
            </cx:spPr>
          </cx:dataPt>
          <cx:dataId val="0"/>
        </cx:series>
      </cx:plotAreaRegion>
      <cx:axis id="0">
        <cx:catScaling gapWidth="0.0599999987"/>
        <cx:tickLabels/>
      </cx:axis>
    </cx:plotArea>
  </cx:chart>
  <cx:spPr>
    <a:ln>
      <a:noFill/>
    </a:ln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_xlchart.v2.18</cx:f>
      </cx:strDim>
      <cx:numDim type="val">
        <cx:f>_xlchart.v2.20</cx:f>
      </cx:numDim>
    </cx:data>
  </cx:chartData>
  <cx:chart>
    <cx:title pos="t" align="ctr" overlay="0">
      <cx:tx>
        <cx:txData>
          <cx:v>Canada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Canada</a:t>
          </a:r>
        </a:p>
      </cx:txPr>
    </cx:title>
    <cx:plotArea>
      <cx:plotAreaRegion>
        <cx:series layoutId="funnel" uniqueId="{B6FF9BE2-C0BD-44F5-933E-03865E6EEF3A}">
          <cx:tx>
            <cx:txData>
              <cx:f>_xlchart.v2.19</cx:f>
              <cx:v>Canada_perc_drop</cx:v>
            </cx:txData>
          </cx:tx>
          <cx:spPr>
            <a:solidFill>
              <a:schemeClr val="accent5">
                <a:lumMod val="20000"/>
                <a:lumOff val="80000"/>
              </a:schemeClr>
            </a:solidFill>
          </cx:spPr>
          <cx:dataPt idx="1">
            <cx:spPr>
              <a:solidFill>
                <a:srgbClr val="A02B93">
                  <a:lumMod val="40000"/>
                  <a:lumOff val="60000"/>
                </a:srgbClr>
              </a:solidFill>
            </cx:spPr>
          </cx:dataPt>
          <cx:dataPt idx="2">
            <cx:spPr>
              <a:solidFill>
                <a:srgbClr val="A02B93">
                  <a:lumMod val="60000"/>
                  <a:lumOff val="40000"/>
                </a:srgbClr>
              </a:solidFill>
            </cx:spPr>
          </cx:dataPt>
          <cx:dataPt idx="3">
            <cx:spPr>
              <a:solidFill>
                <a:srgbClr val="A02B93">
                  <a:lumMod val="75000"/>
                </a:srgbClr>
              </a:solidFill>
            </cx:spPr>
          </cx:dataPt>
          <cx:dataPt idx="4">
            <cx:spPr>
              <a:solidFill>
                <a:srgbClr val="A02B93">
                  <a:lumMod val="50000"/>
                </a:srgbClr>
              </a:solidFill>
            </cx:spPr>
          </cx:dataPt>
          <cx:dataPt idx="5">
            <cx:spPr>
              <a:solidFill>
                <a:srgbClr val="E8E8E8">
                  <a:lumMod val="10000"/>
                </a:srgbClr>
              </a:solidFill>
            </cx:spPr>
          </cx:dataPt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_xlchart.v2.12</cx:f>
      </cx:strDim>
      <cx:numDim type="val">
        <cx:f>_xlchart.v2.14</cx:f>
      </cx:numDim>
    </cx:data>
  </cx:chartData>
  <cx:chart>
    <cx:title pos="t" align="ctr" overlay="0">
      <cx:tx>
        <cx:txData>
          <cx:v>India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India</a:t>
          </a:r>
        </a:p>
      </cx:txPr>
    </cx:title>
    <cx:plotArea>
      <cx:plotAreaRegion>
        <cx:series layoutId="funnel" uniqueId="{891F6CFB-5866-4A14-A467-EBA3DFBDF9E9}">
          <cx:tx>
            <cx:txData>
              <cx:f>_xlchart.v2.13</cx:f>
              <cx:v>India_perc_drop</cx:v>
            </cx:txData>
          </cx:tx>
          <cx:dataPt idx="0">
            <cx:spPr>
              <a:solidFill>
                <a:srgbClr val="A02B93">
                  <a:lumMod val="20000"/>
                  <a:lumOff val="80000"/>
                </a:srgbClr>
              </a:solidFill>
            </cx:spPr>
          </cx:dataPt>
          <cx:dataPt idx="1">
            <cx:spPr>
              <a:solidFill>
                <a:srgbClr val="A02B93">
                  <a:lumMod val="40000"/>
                  <a:lumOff val="60000"/>
                </a:srgbClr>
              </a:solidFill>
            </cx:spPr>
          </cx:dataPt>
          <cx:dataPt idx="2">
            <cx:spPr>
              <a:solidFill>
                <a:srgbClr val="A02B93">
                  <a:lumMod val="60000"/>
                  <a:lumOff val="40000"/>
                </a:srgbClr>
              </a:solidFill>
            </cx:spPr>
          </cx:dataPt>
          <cx:dataPt idx="3">
            <cx:spPr>
              <a:solidFill>
                <a:srgbClr val="A02B93">
                  <a:lumMod val="75000"/>
                </a:srgbClr>
              </a:solidFill>
            </cx:spPr>
          </cx:dataPt>
          <cx:dataPt idx="4">
            <cx:spPr>
              <a:solidFill>
                <a:srgbClr val="A02B93">
                  <a:lumMod val="50000"/>
                </a:srgbClr>
              </a:solidFill>
            </cx:spPr>
          </cx:dataPt>
          <cx:dataPt idx="5">
            <cx:spPr>
              <a:solidFill>
                <a:sysClr val="windowText" lastClr="000000"/>
              </a:solidFill>
            </cx:spPr>
          </cx:dataPt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_xlchart.v2.21</cx:f>
      </cx:strDim>
      <cx:numDim type="val">
        <cx:f>_xlchart.v2.23</cx:f>
      </cx:numDim>
    </cx:data>
  </cx:chartData>
  <cx:chart>
    <cx:title pos="t" align="ctr" overlay="0">
      <cx:tx>
        <cx:txData>
          <cx:v>US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US </a:t>
          </a:r>
        </a:p>
      </cx:txPr>
    </cx:title>
    <cx:plotArea>
      <cx:plotAreaRegion>
        <cx:series layoutId="funnel" uniqueId="{243A6812-4D94-4C28-9C19-D6C7E2816F7F}">
          <cx:tx>
            <cx:txData>
              <cx:f>_xlchart.v2.22</cx:f>
              <cx:v>United_States_perc_drop</cx:v>
            </cx:txData>
          </cx:tx>
          <cx:dataPt idx="0">
            <cx:spPr>
              <a:solidFill>
                <a:srgbClr val="A02B93">
                  <a:lumMod val="20000"/>
                  <a:lumOff val="80000"/>
                </a:srgbClr>
              </a:solidFill>
            </cx:spPr>
          </cx:dataPt>
          <cx:dataPt idx="1">
            <cx:spPr>
              <a:solidFill>
                <a:srgbClr val="A02B93">
                  <a:lumMod val="40000"/>
                  <a:lumOff val="60000"/>
                </a:srgbClr>
              </a:solidFill>
            </cx:spPr>
          </cx:dataPt>
          <cx:dataPt idx="2">
            <cx:spPr>
              <a:solidFill>
                <a:srgbClr val="A02B93">
                  <a:lumMod val="60000"/>
                  <a:lumOff val="40000"/>
                </a:srgbClr>
              </a:solidFill>
            </cx:spPr>
          </cx:dataPt>
          <cx:dataPt idx="3">
            <cx:spPr>
              <a:solidFill>
                <a:srgbClr val="A02B93">
                  <a:lumMod val="75000"/>
                </a:srgbClr>
              </a:solidFill>
            </cx:spPr>
          </cx:dataPt>
          <cx:dataPt idx="4">
            <cx:spPr>
              <a:solidFill>
                <a:srgbClr val="A02B93">
                  <a:lumMod val="50000"/>
                </a:srgbClr>
              </a:solidFill>
            </cx:spPr>
          </cx:dataPt>
          <cx:dataPt idx="5">
            <cx:spPr>
              <a:solidFill>
                <a:srgbClr val="E8E8E8">
                  <a:lumMod val="10000"/>
                </a:srgbClr>
              </a:solidFill>
            </cx:spPr>
          </cx:dataPt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_xlchart.v2.15</cx:f>
      </cx:strDim>
      <cx:numDim type="val">
        <cx:f>_xlchart.v2.17</cx:f>
      </cx:numDim>
    </cx:data>
  </cx:chartData>
  <cx:chart>
    <cx:title pos="t" align="ctr" overlay="0">
      <cx:tx>
        <cx:txData>
          <cx:v>General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General </a:t>
          </a:r>
        </a:p>
      </cx:txPr>
    </cx:title>
    <cx:plotArea>
      <cx:plotAreaRegion>
        <cx:series layoutId="funnel" uniqueId="{CF1D294E-1A86-4159-A2A8-BB05205FFE14}">
          <cx:tx>
            <cx:txData>
              <cx:f>_xlchart.v2.16</cx:f>
              <cx:v>Prec_drop</cx:v>
            </cx:txData>
          </cx:tx>
          <cx:spPr>
            <a:solidFill>
              <a:srgbClr val="FF0000"/>
            </a:solidFill>
          </cx:spPr>
          <cx:dataPt idx="0">
            <cx:spPr>
              <a:solidFill>
                <a:srgbClr val="A02B93">
                  <a:lumMod val="20000"/>
                  <a:lumOff val="80000"/>
                </a:srgbClr>
              </a:solidFill>
            </cx:spPr>
          </cx:dataPt>
          <cx:dataPt idx="1">
            <cx:spPr>
              <a:solidFill>
                <a:srgbClr val="A02B93">
                  <a:lumMod val="40000"/>
                  <a:lumOff val="60000"/>
                </a:srgbClr>
              </a:solidFill>
            </cx:spPr>
          </cx:dataPt>
          <cx:dataPt idx="2">
            <cx:spPr>
              <a:solidFill>
                <a:srgbClr val="A02B93">
                  <a:lumMod val="60000"/>
                  <a:lumOff val="40000"/>
                </a:srgbClr>
              </a:solidFill>
            </cx:spPr>
          </cx:dataPt>
          <cx:dataPt idx="3">
            <cx:spPr>
              <a:solidFill>
                <a:srgbClr val="A02B93">
                  <a:lumMod val="75000"/>
                </a:srgbClr>
              </a:solidFill>
            </cx:spPr>
          </cx:dataPt>
          <cx:dataPt idx="4">
            <cx:spPr>
              <a:solidFill>
                <a:srgbClr val="A02B93">
                  <a:lumMod val="50000"/>
                </a:srgbClr>
              </a:solidFill>
            </cx:spPr>
          </cx:dataPt>
          <cx:dataPt idx="5">
            <cx:spPr>
              <a:solidFill>
                <a:srgbClr val="E8E8E8">
                  <a:lumMod val="10000"/>
                </a:srgbClr>
              </a:solidFill>
            </cx:spPr>
          </cx:dataPt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svg"/><Relationship Id="rId13" Type="http://schemas.openxmlformats.org/officeDocument/2006/relationships/hyperlink" Target="#Tables!A1"/><Relationship Id="rId3" Type="http://schemas.microsoft.com/office/2014/relationships/chartEx" Target="../charts/chartEx3.xml"/><Relationship Id="rId7" Type="http://schemas.openxmlformats.org/officeDocument/2006/relationships/image" Target="../media/image3.png"/><Relationship Id="rId12" Type="http://schemas.openxmlformats.org/officeDocument/2006/relationships/hyperlink" Target="#Task!A1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image" Target="../media/image2.svg"/><Relationship Id="rId11" Type="http://schemas.openxmlformats.org/officeDocument/2006/relationships/hyperlink" Target="#Queries!A1"/><Relationship Id="rId5" Type="http://schemas.openxmlformats.org/officeDocument/2006/relationships/image" Target="../media/image1.png"/><Relationship Id="rId10" Type="http://schemas.openxmlformats.org/officeDocument/2006/relationships/image" Target="../media/image6.svg"/><Relationship Id="rId4" Type="http://schemas.microsoft.com/office/2014/relationships/chartEx" Target="../charts/chartEx4.xml"/><Relationship Id="rId9" Type="http://schemas.openxmlformats.org/officeDocument/2006/relationships/image" Target="../media/image5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7.xml"/><Relationship Id="rId2" Type="http://schemas.microsoft.com/office/2014/relationships/chartEx" Target="../charts/chartEx6.xml"/><Relationship Id="rId1" Type="http://schemas.microsoft.com/office/2014/relationships/chartEx" Target="../charts/chartEx5.xml"/><Relationship Id="rId4" Type="http://schemas.microsoft.com/office/2014/relationships/chartEx" Target="../charts/chartEx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609600</xdr:colOff>
      <xdr:row>3</xdr:row>
      <xdr:rowOff>38100</xdr:rowOff>
    </xdr:from>
    <xdr:to>
      <xdr:col>12</xdr:col>
      <xdr:colOff>152400</xdr:colOff>
      <xdr:row>14</xdr:row>
      <xdr:rowOff>30480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BE22334A-1DC4-A60A-7C57-1839DA759388}"/>
            </a:ext>
          </a:extLst>
        </xdr:cNvPr>
        <xdr:cNvSpPr/>
      </xdr:nvSpPr>
      <xdr:spPr>
        <a:xfrm>
          <a:off x="6263640" y="1501140"/>
          <a:ext cx="5052060" cy="2004060"/>
        </a:xfrm>
        <a:prstGeom prst="roundRect">
          <a:avLst/>
        </a:prstGeom>
        <a:solidFill>
          <a:schemeClr val="bg1"/>
        </a:solidFill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144780</xdr:colOff>
      <xdr:row>23</xdr:row>
      <xdr:rowOff>167640</xdr:rowOff>
    </xdr:from>
    <xdr:to>
      <xdr:col>5</xdr:col>
      <xdr:colOff>731520</xdr:colOff>
      <xdr:row>38</xdr:row>
      <xdr:rowOff>106680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02A9BA0-294D-C9B6-C017-AA6C1EE0AD56}"/>
            </a:ext>
          </a:extLst>
        </xdr:cNvPr>
        <xdr:cNvSpPr/>
      </xdr:nvSpPr>
      <xdr:spPr>
        <a:xfrm>
          <a:off x="1363980" y="5288280"/>
          <a:ext cx="3139440" cy="2682240"/>
        </a:xfrm>
        <a:prstGeom prst="roundRect">
          <a:avLst/>
        </a:prstGeom>
        <a:solidFill>
          <a:schemeClr val="bg1"/>
        </a:solidFill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1043940</xdr:colOff>
      <xdr:row>23</xdr:row>
      <xdr:rowOff>160020</xdr:rowOff>
    </xdr:from>
    <xdr:to>
      <xdr:col>13</xdr:col>
      <xdr:colOff>22860</xdr:colOff>
      <xdr:row>38</xdr:row>
      <xdr:rowOff>114300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BEAA803-E17B-4B10-8B76-36EF1B176F57}"/>
            </a:ext>
          </a:extLst>
        </xdr:cNvPr>
        <xdr:cNvSpPr/>
      </xdr:nvSpPr>
      <xdr:spPr>
        <a:xfrm>
          <a:off x="8343900" y="5280660"/>
          <a:ext cx="3215640" cy="2697480"/>
        </a:xfrm>
        <a:prstGeom prst="roundRect">
          <a:avLst/>
        </a:prstGeom>
        <a:solidFill>
          <a:sysClr val="window" lastClr="FFFFFF"/>
        </a:solidFill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99060</xdr:colOff>
      <xdr:row>23</xdr:row>
      <xdr:rowOff>175260</xdr:rowOff>
    </xdr:from>
    <xdr:to>
      <xdr:col>9</xdr:col>
      <xdr:colOff>632460</xdr:colOff>
      <xdr:row>38</xdr:row>
      <xdr:rowOff>121920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3836ABC-705C-4850-A86F-6C1499CA9AEF}"/>
            </a:ext>
          </a:extLst>
        </xdr:cNvPr>
        <xdr:cNvSpPr/>
      </xdr:nvSpPr>
      <xdr:spPr>
        <a:xfrm>
          <a:off x="4754880" y="5295900"/>
          <a:ext cx="3177540" cy="2689860"/>
        </a:xfrm>
        <a:prstGeom prst="roundRect">
          <a:avLst/>
        </a:prstGeom>
        <a:solidFill>
          <a:schemeClr val="bg1"/>
        </a:solidFill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342900</xdr:colOff>
      <xdr:row>24</xdr:row>
      <xdr:rowOff>167640</xdr:rowOff>
    </xdr:from>
    <xdr:to>
      <xdr:col>5</xdr:col>
      <xdr:colOff>472440</xdr:colOff>
      <xdr:row>37</xdr:row>
      <xdr:rowOff>102870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603E8529-4F42-49AD-8B35-8C81D54F8F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2100" y="4556760"/>
              <a:ext cx="2872740" cy="23126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198120</xdr:colOff>
      <xdr:row>25</xdr:row>
      <xdr:rowOff>0</xdr:rowOff>
    </xdr:from>
    <xdr:to>
      <xdr:col>9</xdr:col>
      <xdr:colOff>419100</xdr:colOff>
      <xdr:row>37</xdr:row>
      <xdr:rowOff>102870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9859B4D8-E828-4750-8058-C0417847D7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90160" y="4572000"/>
              <a:ext cx="2865120" cy="22974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60960</xdr:colOff>
      <xdr:row>24</xdr:row>
      <xdr:rowOff>106680</xdr:rowOff>
    </xdr:from>
    <xdr:to>
      <xdr:col>12</xdr:col>
      <xdr:colOff>441960</xdr:colOff>
      <xdr:row>37</xdr:row>
      <xdr:rowOff>76200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CAA7232E-713D-4A68-9010-8A74D3B804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40140" y="4495800"/>
              <a:ext cx="2865120" cy="23469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838200</xdr:colOff>
      <xdr:row>3</xdr:row>
      <xdr:rowOff>91440</xdr:rowOff>
    </xdr:from>
    <xdr:to>
      <xdr:col>11</xdr:col>
      <xdr:colOff>982980</xdr:colOff>
      <xdr:row>13</xdr:row>
      <xdr:rowOff>106680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B7648353-D106-4201-A128-F2CE10E8CA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92240" y="640080"/>
              <a:ext cx="4198620" cy="18440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7620</xdr:colOff>
      <xdr:row>0</xdr:row>
      <xdr:rowOff>0</xdr:rowOff>
    </xdr:from>
    <xdr:to>
      <xdr:col>1</xdr:col>
      <xdr:colOff>289560</xdr:colOff>
      <xdr:row>44</xdr:row>
      <xdr:rowOff>144780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DDB78BD-CA6B-F2C0-B15D-4BCCF488F6B1}"/>
            </a:ext>
          </a:extLst>
        </xdr:cNvPr>
        <xdr:cNvSpPr/>
      </xdr:nvSpPr>
      <xdr:spPr>
        <a:xfrm>
          <a:off x="7620" y="0"/>
          <a:ext cx="891540" cy="819150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243840</xdr:colOff>
      <xdr:row>0</xdr:row>
      <xdr:rowOff>0</xdr:rowOff>
    </xdr:from>
    <xdr:to>
      <xdr:col>23</xdr:col>
      <xdr:colOff>601980</xdr:colOff>
      <xdr:row>2</xdr:row>
      <xdr:rowOff>60960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32AAC28-7C1E-F358-30D6-8372DE8A0D80}"/>
            </a:ext>
          </a:extLst>
        </xdr:cNvPr>
        <xdr:cNvSpPr/>
      </xdr:nvSpPr>
      <xdr:spPr>
        <a:xfrm>
          <a:off x="853440" y="0"/>
          <a:ext cx="17617440" cy="42672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                                                                                                                                                                                    </a:t>
          </a:r>
          <a:r>
            <a:rPr lang="en-US" sz="1800" b="1">
              <a:solidFill>
                <a:schemeClr val="accent5">
                  <a:lumMod val="50000"/>
                </a:schemeClr>
              </a:solidFill>
            </a:rPr>
            <a:t>Funnel Project</a:t>
          </a:r>
        </a:p>
      </xdr:txBody>
    </xdr:sp>
    <xdr:clientData/>
  </xdr:twoCellAnchor>
  <xdr:twoCellAnchor editAs="oneCell">
    <xdr:from>
      <xdr:col>0</xdr:col>
      <xdr:colOff>144780</xdr:colOff>
      <xdr:row>6</xdr:row>
      <xdr:rowOff>99060</xdr:rowOff>
    </xdr:from>
    <xdr:to>
      <xdr:col>1</xdr:col>
      <xdr:colOff>99060</xdr:colOff>
      <xdr:row>9</xdr:row>
      <xdr:rowOff>129540</xdr:rowOff>
    </xdr:to>
    <xdr:pic>
      <xdr:nvPicPr>
        <xdr:cNvPr id="20" name="Graphic 19" descr="Clipboard with solid fill">
          <a:extLst>
            <a:ext uri="{FF2B5EF4-FFF2-40B4-BE49-F238E27FC236}">
              <a16:creationId xmlns:a16="http://schemas.microsoft.com/office/drawing/2014/main" id="{A2815505-1B8E-0ECA-F0C1-A82644839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4780" y="1196340"/>
          <a:ext cx="563880" cy="579120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12</xdr:row>
      <xdr:rowOff>99060</xdr:rowOff>
    </xdr:from>
    <xdr:to>
      <xdr:col>1</xdr:col>
      <xdr:colOff>76200</xdr:colOff>
      <xdr:row>15</xdr:row>
      <xdr:rowOff>121920</xdr:rowOff>
    </xdr:to>
    <xdr:pic>
      <xdr:nvPicPr>
        <xdr:cNvPr id="22" name="Graphic 21" descr="Database with solid fill">
          <a:extLst>
            <a:ext uri="{FF2B5EF4-FFF2-40B4-BE49-F238E27FC236}">
              <a16:creationId xmlns:a16="http://schemas.microsoft.com/office/drawing/2014/main" id="{DDD8655D-B743-63DD-57FF-647B99CCB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37160" y="2293620"/>
          <a:ext cx="548640" cy="571500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17</xdr:row>
      <xdr:rowOff>175260</xdr:rowOff>
    </xdr:from>
    <xdr:to>
      <xdr:col>1</xdr:col>
      <xdr:colOff>76200</xdr:colOff>
      <xdr:row>21</xdr:row>
      <xdr:rowOff>99060</xdr:rowOff>
    </xdr:to>
    <xdr:pic>
      <xdr:nvPicPr>
        <xdr:cNvPr id="24" name="Graphic 23" descr="Table with solid fill">
          <a:extLst>
            <a:ext uri="{FF2B5EF4-FFF2-40B4-BE49-F238E27FC236}">
              <a16:creationId xmlns:a16="http://schemas.microsoft.com/office/drawing/2014/main" id="{1DEC9FEB-8594-C87B-F6EE-D2B001F51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67640" y="3284220"/>
          <a:ext cx="518160" cy="655320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12</xdr:row>
      <xdr:rowOff>76200</xdr:rowOff>
    </xdr:from>
    <xdr:to>
      <xdr:col>1</xdr:col>
      <xdr:colOff>121920</xdr:colOff>
      <xdr:row>16</xdr:row>
      <xdr:rowOff>144780</xdr:rowOff>
    </xdr:to>
    <xdr:sp macro="" textlink="">
      <xdr:nvSpPr>
        <xdr:cNvPr id="25" name="Rectangle: Rounded Corners 2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CAFD827-4F05-271C-EDF7-944BD7F3AAA1}"/>
            </a:ext>
          </a:extLst>
        </xdr:cNvPr>
        <xdr:cNvSpPr/>
      </xdr:nvSpPr>
      <xdr:spPr>
        <a:xfrm>
          <a:off x="114300" y="2270760"/>
          <a:ext cx="617220" cy="8001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n-US" sz="1100" b="1">
              <a:solidFill>
                <a:schemeClr val="accent5">
                  <a:lumMod val="50000"/>
                </a:schemeClr>
              </a:solidFill>
            </a:rPr>
            <a:t>SQL</a:t>
          </a:r>
        </a:p>
      </xdr:txBody>
    </xdr:sp>
    <xdr:clientData/>
  </xdr:twoCellAnchor>
  <xdr:twoCellAnchor>
    <xdr:from>
      <xdr:col>0</xdr:col>
      <xdr:colOff>121920</xdr:colOff>
      <xdr:row>6</xdr:row>
      <xdr:rowOff>60960</xdr:rowOff>
    </xdr:from>
    <xdr:to>
      <xdr:col>1</xdr:col>
      <xdr:colOff>129540</xdr:colOff>
      <xdr:row>11</xdr:row>
      <xdr:rowOff>7620</xdr:rowOff>
    </xdr:to>
    <xdr:sp macro="" textlink="">
      <xdr:nvSpPr>
        <xdr:cNvPr id="27" name="Rectangle: Rounded Corners 2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BAAC7DC-0222-4C16-8202-54A9485B9B10}"/>
            </a:ext>
          </a:extLst>
        </xdr:cNvPr>
        <xdr:cNvSpPr/>
      </xdr:nvSpPr>
      <xdr:spPr>
        <a:xfrm>
          <a:off x="121920" y="1158240"/>
          <a:ext cx="617220" cy="861060"/>
        </a:xfrm>
        <a:prstGeom prst="roundRect">
          <a:avLst/>
        </a:prstGeom>
        <a:noFill/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n-US" sz="1100" b="1">
              <a:solidFill>
                <a:schemeClr val="accent5">
                  <a:lumMod val="50000"/>
                </a:schemeClr>
              </a:solidFill>
            </a:rPr>
            <a:t>Task</a:t>
          </a:r>
        </a:p>
      </xdr:txBody>
    </xdr:sp>
    <xdr:clientData/>
  </xdr:twoCellAnchor>
  <xdr:twoCellAnchor>
    <xdr:from>
      <xdr:col>0</xdr:col>
      <xdr:colOff>99060</xdr:colOff>
      <xdr:row>18</xdr:row>
      <xdr:rowOff>22860</xdr:rowOff>
    </xdr:from>
    <xdr:to>
      <xdr:col>1</xdr:col>
      <xdr:colOff>121920</xdr:colOff>
      <xdr:row>22</xdr:row>
      <xdr:rowOff>53340</xdr:rowOff>
    </xdr:to>
    <xdr:sp macro="" textlink="">
      <xdr:nvSpPr>
        <xdr:cNvPr id="29" name="Rectangle: Rounded Corners 2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431A63F0-991E-447B-A53C-58C3CCE44622}"/>
            </a:ext>
          </a:extLst>
        </xdr:cNvPr>
        <xdr:cNvSpPr/>
      </xdr:nvSpPr>
      <xdr:spPr>
        <a:xfrm>
          <a:off x="99060" y="3314700"/>
          <a:ext cx="632460" cy="7620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n-US" sz="1100" b="1">
              <a:solidFill>
                <a:schemeClr val="accent5">
                  <a:lumMod val="50000"/>
                </a:schemeClr>
              </a:solidFill>
            </a:rPr>
            <a:t>Tables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121920</xdr:colOff>
      <xdr:row>11</xdr:row>
      <xdr:rowOff>11430</xdr:rowOff>
    </xdr:from>
    <xdr:to>
      <xdr:col>8</xdr:col>
      <xdr:colOff>388620</xdr:colOff>
      <xdr:row>23</xdr:row>
      <xdr:rowOff>129540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2B589B3-A320-90E0-8746-3E3062C4A9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87240" y="2023110"/>
              <a:ext cx="3360420" cy="23126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480060</xdr:colOff>
      <xdr:row>11</xdr:row>
      <xdr:rowOff>26670</xdr:rowOff>
    </xdr:from>
    <xdr:to>
      <xdr:col>11</xdr:col>
      <xdr:colOff>891540</xdr:colOff>
      <xdr:row>23</xdr:row>
      <xdr:rowOff>129540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64A02BD-4406-9A12-1987-86B0D9F506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39100" y="2038350"/>
              <a:ext cx="3329940" cy="22974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1036320</xdr:colOff>
      <xdr:row>11</xdr:row>
      <xdr:rowOff>3810</xdr:rowOff>
    </xdr:from>
    <xdr:to>
      <xdr:col>14</xdr:col>
      <xdr:colOff>335280</xdr:colOff>
      <xdr:row>23</xdr:row>
      <xdr:rowOff>106680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1D127DE-B868-321E-9798-3CB0B59420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3820" y="2015490"/>
              <a:ext cx="3299460" cy="22974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586740</xdr:colOff>
      <xdr:row>31</xdr:row>
      <xdr:rowOff>57150</xdr:rowOff>
    </xdr:from>
    <xdr:to>
      <xdr:col>4</xdr:col>
      <xdr:colOff>76200</xdr:colOff>
      <xdr:row>44</xdr:row>
      <xdr:rowOff>7620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8E32D87-E550-37D0-AD11-BB45D82A0B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6740" y="5726430"/>
              <a:ext cx="3345180" cy="23279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BA268-58D9-4C73-ACBE-2F5FCEE91731}">
  <dimension ref="D5:L23"/>
  <sheetViews>
    <sheetView showGridLines="0" tabSelected="1" zoomScale="66" zoomScaleNormal="63" workbookViewId="0">
      <selection activeCell="F10" sqref="F10"/>
    </sheetView>
  </sheetViews>
  <sheetFormatPr defaultRowHeight="14.4" x14ac:dyDescent="0.3"/>
  <cols>
    <col min="4" max="4" width="12.109375" customWidth="1"/>
    <col min="5" max="5" width="19" customWidth="1"/>
    <col min="6" max="6" width="13.5546875" customWidth="1"/>
    <col min="7" max="7" width="11.109375" customWidth="1"/>
    <col min="8" max="8" width="17.88671875" customWidth="1"/>
    <col min="9" max="9" width="9.5546875" customWidth="1"/>
    <col min="10" max="10" width="16.6640625" style="14" customWidth="1"/>
    <col min="11" max="11" width="15" customWidth="1"/>
    <col min="12" max="12" width="21.21875" style="14" customWidth="1"/>
  </cols>
  <sheetData>
    <row r="5" spans="4:12" x14ac:dyDescent="0.3">
      <c r="D5" s="21" t="s">
        <v>24</v>
      </c>
      <c r="E5" s="20"/>
      <c r="F5" s="20"/>
      <c r="G5" s="20"/>
    </row>
    <row r="6" spans="4:12" x14ac:dyDescent="0.3">
      <c r="D6" s="3" t="s">
        <v>31</v>
      </c>
      <c r="E6" s="10" t="s">
        <v>1</v>
      </c>
      <c r="F6" s="10" t="s">
        <v>32</v>
      </c>
      <c r="G6" s="16" t="s">
        <v>33</v>
      </c>
    </row>
    <row r="7" spans="4:12" x14ac:dyDescent="0.3">
      <c r="D7" s="2">
        <v>1</v>
      </c>
      <c r="E7" s="7" t="s">
        <v>25</v>
      </c>
      <c r="F7" s="18">
        <v>269792</v>
      </c>
      <c r="G7" s="15">
        <f>SUM(F7:$F$12)/SUM($F$7:$F$12)</f>
        <v>1</v>
      </c>
    </row>
    <row r="8" spans="4:12" x14ac:dyDescent="0.3">
      <c r="D8" s="2">
        <v>2</v>
      </c>
      <c r="E8" s="7" t="s">
        <v>26</v>
      </c>
      <c r="F8" s="18">
        <v>61252</v>
      </c>
      <c r="G8" s="15">
        <f>SUM(F8:$F$12)/SUM($F$7:$F$12)</f>
        <v>0.25774058116949217</v>
      </c>
      <c r="H8" s="3"/>
      <c r="I8" s="3"/>
      <c r="J8" s="16"/>
      <c r="K8" s="16"/>
      <c r="L8" s="16"/>
    </row>
    <row r="9" spans="4:12" x14ac:dyDescent="0.3">
      <c r="D9" s="2">
        <v>3</v>
      </c>
      <c r="E9" s="7" t="s">
        <v>27</v>
      </c>
      <c r="F9" s="18">
        <v>12545</v>
      </c>
      <c r="G9" s="15">
        <f>SUM(F9:$F$12)/SUM($F$7:$F$12)</f>
        <v>8.922233777381601E-2</v>
      </c>
      <c r="H9" s="14"/>
      <c r="I9" s="4"/>
      <c r="J9" s="5"/>
      <c r="K9" s="5"/>
      <c r="L9" s="5"/>
    </row>
    <row r="10" spans="4:12" x14ac:dyDescent="0.3">
      <c r="D10" s="2">
        <v>4</v>
      </c>
      <c r="E10" s="7" t="s">
        <v>28</v>
      </c>
      <c r="F10" s="18">
        <v>9715</v>
      </c>
      <c r="G10" s="15">
        <f>SUM(F10:$F$12)/SUM($F$7:$F$12)</f>
        <v>5.4708177201120298E-2</v>
      </c>
      <c r="H10" s="14"/>
      <c r="I10" s="4"/>
      <c r="J10" s="5"/>
      <c r="K10" s="5"/>
      <c r="L10" s="5"/>
    </row>
    <row r="11" spans="4:12" x14ac:dyDescent="0.3">
      <c r="D11" s="2">
        <v>5</v>
      </c>
      <c r="E11" s="7" t="s">
        <v>29</v>
      </c>
      <c r="F11" s="18">
        <v>5751</v>
      </c>
      <c r="G11" s="15">
        <f>SUM(F11:$F$12)/SUM($F$7:$F$12)</f>
        <v>2.7979993066904373E-2</v>
      </c>
      <c r="H11" s="14"/>
      <c r="I11" s="4"/>
      <c r="J11" s="5"/>
      <c r="K11" s="5"/>
      <c r="L11" s="5"/>
    </row>
    <row r="12" spans="4:12" x14ac:dyDescent="0.3">
      <c r="D12" s="2">
        <v>6</v>
      </c>
      <c r="E12" s="7" t="s">
        <v>30</v>
      </c>
      <c r="F12" s="18">
        <v>4419</v>
      </c>
      <c r="G12" s="15">
        <f>SUM(F12:$F$12)/SUM($F$7:$F$12)</f>
        <v>1.2157678403407122E-2</v>
      </c>
      <c r="H12" s="14"/>
      <c r="I12" s="4"/>
      <c r="J12" s="5"/>
      <c r="K12" s="5"/>
      <c r="L12" s="5"/>
    </row>
    <row r="13" spans="4:12" x14ac:dyDescent="0.3">
      <c r="D13" s="2"/>
      <c r="F13" s="2"/>
      <c r="G13" s="14"/>
      <c r="H13" s="14"/>
      <c r="I13" s="4"/>
      <c r="J13" s="5"/>
      <c r="K13" s="5"/>
      <c r="L13" s="5"/>
    </row>
    <row r="14" spans="4:12" x14ac:dyDescent="0.3">
      <c r="D14" s="2"/>
      <c r="F14" s="2"/>
      <c r="G14" s="14"/>
      <c r="H14" s="14"/>
      <c r="I14" s="4"/>
      <c r="J14" s="5"/>
      <c r="K14" s="5"/>
      <c r="L14" s="5"/>
    </row>
    <row r="16" spans="4:12" x14ac:dyDescent="0.3">
      <c r="D16" s="19" t="s">
        <v>23</v>
      </c>
      <c r="E16" s="20"/>
      <c r="F16" s="20"/>
      <c r="G16" s="20"/>
      <c r="H16" s="20"/>
      <c r="I16" s="20"/>
      <c r="J16" s="20"/>
      <c r="K16" s="20"/>
      <c r="L16" s="20"/>
    </row>
    <row r="17" spans="4:12" x14ac:dyDescent="0.3">
      <c r="D17" s="3" t="str">
        <f>Tables!F3</f>
        <v>event_order</v>
      </c>
      <c r="E17" s="9" t="str">
        <f>Tables!G3</f>
        <v>event_name</v>
      </c>
      <c r="F17" s="3" t="str">
        <f>Tables!H3</f>
        <v>Canada events</v>
      </c>
      <c r="G17" s="3" t="str">
        <f>Tables!I3</f>
        <v>India events</v>
      </c>
      <c r="H17" s="3" t="str">
        <f>Tables!J3</f>
        <v>United State events</v>
      </c>
      <c r="I17" s="3" t="str">
        <f>Tables!K3</f>
        <v>Full_perc</v>
      </c>
      <c r="J17" s="16" t="str">
        <f>Tables!L3</f>
        <v>Canada_perc_drop</v>
      </c>
      <c r="K17" s="16" t="str">
        <f>Tables!M3</f>
        <v>India_perc_drop</v>
      </c>
      <c r="L17" s="16" t="str">
        <f>Tables!N3</f>
        <v>United_States_perc_drop</v>
      </c>
    </row>
    <row r="18" spans="4:12" x14ac:dyDescent="0.3">
      <c r="D18" s="2">
        <f>Tables!F4</f>
        <v>1</v>
      </c>
      <c r="E18" t="str">
        <f>Tables!G4</f>
        <v>page_view</v>
      </c>
      <c r="F18" s="2">
        <f>Tables!H4</f>
        <v>20242</v>
      </c>
      <c r="G18" s="14">
        <f>Tables!I4</f>
        <v>25331</v>
      </c>
      <c r="H18" s="14">
        <f>Tables!J4</f>
        <v>118333</v>
      </c>
      <c r="I18" s="4">
        <f>Tables!K4</f>
        <v>1</v>
      </c>
      <c r="J18" s="5">
        <f>Tables!L4</f>
        <v>1</v>
      </c>
      <c r="K18" s="5">
        <f>Tables!M4</f>
        <v>1</v>
      </c>
      <c r="L18" s="5">
        <f>Tables!N4</f>
        <v>1</v>
      </c>
    </row>
    <row r="19" spans="4:12" x14ac:dyDescent="0.3">
      <c r="D19" s="2">
        <f>Tables!F5</f>
        <v>2</v>
      </c>
      <c r="E19" t="str">
        <f>Tables!G5</f>
        <v>view_item</v>
      </c>
      <c r="F19" s="2">
        <f>Tables!H5</f>
        <v>4653</v>
      </c>
      <c r="G19" s="14">
        <f>Tables!I5</f>
        <v>4653</v>
      </c>
      <c r="H19" s="14">
        <f>Tables!J5</f>
        <v>26953</v>
      </c>
      <c r="I19" s="4">
        <f>Tables!K5</f>
        <v>1</v>
      </c>
      <c r="J19" s="5">
        <f>Tables!L5</f>
        <v>0.26317705299941757</v>
      </c>
      <c r="K19" s="5">
        <f>Tables!M5</f>
        <v>0.23132244947502578</v>
      </c>
      <c r="L19" s="5">
        <f>Tables!N5</f>
        <v>0.25882986652636591</v>
      </c>
    </row>
    <row r="20" spans="4:12" x14ac:dyDescent="0.3">
      <c r="D20" s="2">
        <f>Tables!F6</f>
        <v>3</v>
      </c>
      <c r="E20" t="str">
        <f>Tables!G6</f>
        <v>add_to_cart</v>
      </c>
      <c r="F20" s="2">
        <f>Tables!H6</f>
        <v>993</v>
      </c>
      <c r="G20" s="14">
        <f>Tables!I6</f>
        <v>1162</v>
      </c>
      <c r="H20" s="14">
        <f>Tables!J6</f>
        <v>5603</v>
      </c>
      <c r="I20" s="4">
        <f>Tables!K6</f>
        <v>1</v>
      </c>
      <c r="J20" s="5">
        <f>Tables!L6</f>
        <v>9.3804601048340125E-2</v>
      </c>
      <c r="K20" s="5">
        <f>Tables!M6</f>
        <v>9.0125629665594467E-2</v>
      </c>
      <c r="L20" s="5">
        <f>Tables!N6</f>
        <v>9.0011712608905337E-2</v>
      </c>
    </row>
    <row r="21" spans="4:12" x14ac:dyDescent="0.3">
      <c r="D21" s="2">
        <f>Tables!F7</f>
        <v>4</v>
      </c>
      <c r="E21" t="str">
        <f>Tables!G7</f>
        <v>begin_checkout</v>
      </c>
      <c r="F21" s="2">
        <f>Tables!H7</f>
        <v>764</v>
      </c>
      <c r="G21" s="14">
        <f>Tables!I7</f>
        <v>878</v>
      </c>
      <c r="H21" s="14">
        <f>Tables!J7</f>
        <v>4310</v>
      </c>
      <c r="I21" s="4">
        <f>Tables!K7</f>
        <v>1</v>
      </c>
      <c r="J21" s="5">
        <f>Tables!L7</f>
        <v>5.7658707047175309E-2</v>
      </c>
      <c r="K21" s="5">
        <f>Tables!M7</f>
        <v>5.4864356375553799E-2</v>
      </c>
      <c r="L21" s="5">
        <f>Tables!N7</f>
        <v>5.491772988343762E-2</v>
      </c>
    </row>
    <row r="22" spans="4:12" x14ac:dyDescent="0.3">
      <c r="D22" s="2">
        <f>Tables!F8</f>
        <v>5</v>
      </c>
      <c r="E22" t="str">
        <f>Tables!G8</f>
        <v>add_payment_info</v>
      </c>
      <c r="F22" s="2">
        <f>Tables!H8</f>
        <v>465</v>
      </c>
      <c r="G22" s="14">
        <f>Tables!I8</f>
        <v>524</v>
      </c>
      <c r="H22" s="14">
        <f>Tables!J8</f>
        <v>2516</v>
      </c>
      <c r="I22" s="4">
        <f>Tables!K8</f>
        <v>1</v>
      </c>
      <c r="J22" s="5">
        <f>Tables!L8</f>
        <v>2.984857309260338E-2</v>
      </c>
      <c r="K22" s="5">
        <f>Tables!M8</f>
        <v>2.8221156763974024E-2</v>
      </c>
      <c r="L22" s="5">
        <f>Tables!N8</f>
        <v>2.7922358556154755E-2</v>
      </c>
    </row>
    <row r="23" spans="4:12" x14ac:dyDescent="0.3">
      <c r="D23" s="2">
        <f>Tables!F9</f>
        <v>6</v>
      </c>
      <c r="E23" t="str">
        <f>Tables!G9</f>
        <v>purchase</v>
      </c>
      <c r="F23" s="2">
        <f>Tables!H9</f>
        <v>355</v>
      </c>
      <c r="G23" s="14">
        <f>Tables!I9</f>
        <v>406</v>
      </c>
      <c r="H23" s="14">
        <f>Tables!J9</f>
        <v>1942</v>
      </c>
      <c r="I23" s="4">
        <f>Tables!K9</f>
        <v>1</v>
      </c>
      <c r="J23" s="5">
        <f>Tables!L9</f>
        <v>1.2922248107163657E-2</v>
      </c>
      <c r="K23" s="5">
        <f>Tables!M9</f>
        <v>1.2320203920616618E-2</v>
      </c>
      <c r="L23" s="5">
        <f>Tables!N9</f>
        <v>1.2163575665332558E-2</v>
      </c>
    </row>
  </sheetData>
  <mergeCells count="2">
    <mergeCell ref="D16:L16"/>
    <mergeCell ref="D5:G5"/>
  </mergeCells>
  <conditionalFormatting sqref="G7:G12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{146C973C-88E3-4C72-A1E1-96C3F7D23A0A}</x14:id>
        </ext>
      </extLst>
    </cfRule>
  </conditionalFormatting>
  <conditionalFormatting sqref="J9:L14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{CD742C15-166A-4822-B0D3-A1239674AE1D}</x14:id>
        </ext>
      </extLst>
    </cfRule>
  </conditionalFormatting>
  <conditionalFormatting sqref="J18:L23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{9BA90135-4A0D-4D3F-B7E7-638E6A410432}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6C973C-88E3-4C72-A1E1-96C3F7D23A0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G7:G12</xm:sqref>
        </x14:conditionalFormatting>
        <x14:conditionalFormatting xmlns:xm="http://schemas.microsoft.com/office/excel/2006/main">
          <x14:cfRule type="dataBar" id="{CD742C15-166A-4822-B0D3-A1239674AE1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J9:L14</xm:sqref>
        </x14:conditionalFormatting>
        <x14:conditionalFormatting xmlns:xm="http://schemas.microsoft.com/office/excel/2006/main">
          <x14:cfRule type="dataBar" id="{9BA90135-4A0D-4D3F-B7E7-638E6A41043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J18:L23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8BBD-3715-41BA-A815-9A0321C18662}">
  <dimension ref="B3:N30"/>
  <sheetViews>
    <sheetView showGridLines="0" workbookViewId="0">
      <selection activeCell="D25" sqref="D25"/>
    </sheetView>
  </sheetViews>
  <sheetFormatPr defaultRowHeight="14.4" x14ac:dyDescent="0.3"/>
  <cols>
    <col min="2" max="2" width="17.77734375" customWidth="1"/>
    <col min="3" max="3" width="18" customWidth="1"/>
    <col min="4" max="4" width="11.5546875" customWidth="1"/>
    <col min="6" max="6" width="11.33203125" customWidth="1"/>
    <col min="7" max="7" width="19.77734375" customWidth="1"/>
    <col min="8" max="8" width="14" customWidth="1"/>
    <col min="9" max="9" width="16.88671875" customWidth="1"/>
    <col min="10" max="10" width="16.77734375" customWidth="1"/>
    <col min="12" max="12" width="18.6640625" customWidth="1"/>
    <col min="13" max="13" width="16.21875" customWidth="1"/>
    <col min="14" max="14" width="23.44140625" customWidth="1"/>
  </cols>
  <sheetData>
    <row r="3" spans="2:14" x14ac:dyDescent="0.3">
      <c r="B3" s="6" t="s">
        <v>8</v>
      </c>
      <c r="C3" s="6" t="s">
        <v>9</v>
      </c>
      <c r="D3" s="6" t="s">
        <v>10</v>
      </c>
      <c r="F3" s="6" t="s">
        <v>16</v>
      </c>
      <c r="G3" s="10" t="s">
        <v>9</v>
      </c>
      <c r="H3" s="9" t="s">
        <v>14</v>
      </c>
      <c r="I3" s="9" t="s">
        <v>15</v>
      </c>
      <c r="J3" s="11" t="s">
        <v>17</v>
      </c>
      <c r="K3" s="3" t="s">
        <v>18</v>
      </c>
      <c r="L3" s="12" t="s">
        <v>19</v>
      </c>
      <c r="M3" s="12" t="s">
        <v>20</v>
      </c>
      <c r="N3" s="13" t="s">
        <v>21</v>
      </c>
    </row>
    <row r="4" spans="2:14" x14ac:dyDescent="0.3">
      <c r="B4" s="1" t="s">
        <v>11</v>
      </c>
      <c r="C4" s="1" t="s">
        <v>6</v>
      </c>
      <c r="D4" s="1">
        <v>465</v>
      </c>
      <c r="F4" s="2">
        <v>1</v>
      </c>
      <c r="G4" s="1" t="s">
        <v>2</v>
      </c>
      <c r="H4" s="1">
        <v>20242</v>
      </c>
      <c r="I4" s="1">
        <v>25331</v>
      </c>
      <c r="J4" s="1">
        <v>118333</v>
      </c>
      <c r="K4" s="5">
        <v>1</v>
      </c>
      <c r="L4" s="5">
        <f>SUM(H4:$H$9) / SUM($H$4:$H$9)</f>
        <v>1</v>
      </c>
      <c r="M4" s="5">
        <f>SUM(I4:$I$9)/SUM($I$4:$I$9)</f>
        <v>1</v>
      </c>
      <c r="N4" s="5">
        <f>SUM(J4:$J$9)/ SUM($J$4:$J$9)</f>
        <v>1</v>
      </c>
    </row>
    <row r="5" spans="2:14" x14ac:dyDescent="0.3">
      <c r="B5" s="1" t="s">
        <v>11</v>
      </c>
      <c r="C5" s="1" t="s">
        <v>5</v>
      </c>
      <c r="D5" s="1">
        <v>993</v>
      </c>
      <c r="F5" s="2">
        <v>2</v>
      </c>
      <c r="G5" s="1" t="s">
        <v>3</v>
      </c>
      <c r="H5" s="1">
        <v>4653</v>
      </c>
      <c r="I5" s="1">
        <v>4653</v>
      </c>
      <c r="J5" s="1">
        <v>26953</v>
      </c>
      <c r="K5" s="5">
        <v>1</v>
      </c>
      <c r="L5" s="5">
        <f>SUM(H5:$H$9) / SUM($H$4:$H$9)</f>
        <v>0.26317705299941757</v>
      </c>
      <c r="M5" s="5">
        <f>SUM(I5:$I$9)/SUM($I$4:$I$9)</f>
        <v>0.23132244947502578</v>
      </c>
      <c r="N5" s="5">
        <f>SUM(J5:$J$9)/ SUM($J$4:$J$9)</f>
        <v>0.25882986652636591</v>
      </c>
    </row>
    <row r="6" spans="2:14" x14ac:dyDescent="0.3">
      <c r="B6" s="1" t="s">
        <v>11</v>
      </c>
      <c r="C6" s="1" t="s">
        <v>4</v>
      </c>
      <c r="D6" s="1">
        <v>764</v>
      </c>
      <c r="F6" s="2">
        <v>3</v>
      </c>
      <c r="G6" s="1" t="s">
        <v>5</v>
      </c>
      <c r="H6" s="1">
        <v>993</v>
      </c>
      <c r="I6" s="1">
        <v>1162</v>
      </c>
      <c r="J6" s="1">
        <v>5603</v>
      </c>
      <c r="K6" s="5">
        <v>1</v>
      </c>
      <c r="L6" s="5">
        <f>SUM(H6:$H$9) / SUM($H$4:$H$9)</f>
        <v>9.3804601048340125E-2</v>
      </c>
      <c r="M6" s="5">
        <f>SUM(I6:$I$9)/SUM($I$4:$I$9)</f>
        <v>9.0125629665594467E-2</v>
      </c>
      <c r="N6" s="5">
        <f>SUM(J6:$J$9)/ SUM($J$4:$J$9)</f>
        <v>9.0011712608905337E-2</v>
      </c>
    </row>
    <row r="7" spans="2:14" x14ac:dyDescent="0.3">
      <c r="B7" s="1" t="s">
        <v>11</v>
      </c>
      <c r="C7" s="1" t="s">
        <v>2</v>
      </c>
      <c r="D7" s="1">
        <v>20242</v>
      </c>
      <c r="F7" s="2">
        <v>4</v>
      </c>
      <c r="G7" s="1" t="s">
        <v>4</v>
      </c>
      <c r="H7" s="1">
        <v>764</v>
      </c>
      <c r="I7" s="1">
        <v>878</v>
      </c>
      <c r="J7" s="1">
        <v>4310</v>
      </c>
      <c r="K7" s="5">
        <v>1</v>
      </c>
      <c r="L7" s="5">
        <f>SUM(H7:$H$9) / SUM($H$4:$H$9)</f>
        <v>5.7658707047175309E-2</v>
      </c>
      <c r="M7" s="5">
        <f>SUM(I7:$I$9)/SUM($I$4:$I$9)</f>
        <v>5.4864356375553799E-2</v>
      </c>
      <c r="N7" s="5">
        <f>SUM(J7:$J$9)/ SUM($J$4:$J$9)</f>
        <v>5.491772988343762E-2</v>
      </c>
    </row>
    <row r="8" spans="2:14" x14ac:dyDescent="0.3">
      <c r="B8" s="1" t="s">
        <v>11</v>
      </c>
      <c r="C8" s="1" t="s">
        <v>7</v>
      </c>
      <c r="D8" s="1">
        <v>355</v>
      </c>
      <c r="F8" s="2">
        <v>5</v>
      </c>
      <c r="G8" s="1" t="s">
        <v>6</v>
      </c>
      <c r="H8" s="1">
        <v>465</v>
      </c>
      <c r="I8" s="1">
        <v>524</v>
      </c>
      <c r="J8" s="1">
        <v>2516</v>
      </c>
      <c r="K8" s="5">
        <v>1</v>
      </c>
      <c r="L8" s="5">
        <f>SUM(H8:$H$9) / SUM($H$4:$H$9)</f>
        <v>2.984857309260338E-2</v>
      </c>
      <c r="M8" s="5">
        <f>SUM(I8:$I$9)/SUM($I$4:$I$9)</f>
        <v>2.8221156763974024E-2</v>
      </c>
      <c r="N8" s="5">
        <f>SUM(J8:$J$9)/ SUM($J$4:$J$9)</f>
        <v>2.7922358556154755E-2</v>
      </c>
    </row>
    <row r="9" spans="2:14" x14ac:dyDescent="0.3">
      <c r="B9" s="1" t="s">
        <v>11</v>
      </c>
      <c r="C9" s="1" t="s">
        <v>3</v>
      </c>
      <c r="D9" s="1">
        <v>4653</v>
      </c>
      <c r="F9" s="2">
        <v>6</v>
      </c>
      <c r="G9" s="1" t="s">
        <v>7</v>
      </c>
      <c r="H9" s="1">
        <v>355</v>
      </c>
      <c r="I9" s="1">
        <v>406</v>
      </c>
      <c r="J9" s="1">
        <v>1942</v>
      </c>
      <c r="K9" s="5">
        <v>1</v>
      </c>
      <c r="L9" s="5">
        <f>SUM(H9:$H$9) / SUM($H$4:$H$9)</f>
        <v>1.2922248107163657E-2</v>
      </c>
      <c r="M9" s="5">
        <f>SUM(I9:$I$9)/SUM($I$4:$I$9)</f>
        <v>1.2320203920616618E-2</v>
      </c>
      <c r="N9" s="5">
        <f>SUM(J9:$J$9)/ SUM($J$4:$J$9)</f>
        <v>1.2163575665332558E-2</v>
      </c>
    </row>
    <row r="10" spans="2:14" x14ac:dyDescent="0.3">
      <c r="B10" s="1" t="s">
        <v>12</v>
      </c>
      <c r="C10" s="1" t="s">
        <v>6</v>
      </c>
      <c r="D10" s="1">
        <v>524</v>
      </c>
    </row>
    <row r="11" spans="2:14" x14ac:dyDescent="0.3">
      <c r="B11" s="1" t="s">
        <v>12</v>
      </c>
      <c r="C11" s="1" t="s">
        <v>5</v>
      </c>
      <c r="D11" s="1">
        <v>1162</v>
      </c>
    </row>
    <row r="12" spans="2:14" x14ac:dyDescent="0.3">
      <c r="B12" s="1" t="s">
        <v>12</v>
      </c>
      <c r="C12" s="1" t="s">
        <v>4</v>
      </c>
      <c r="D12" s="1">
        <v>878</v>
      </c>
    </row>
    <row r="13" spans="2:14" x14ac:dyDescent="0.3">
      <c r="B13" s="1" t="s">
        <v>12</v>
      </c>
      <c r="C13" s="1" t="s">
        <v>2</v>
      </c>
      <c r="D13" s="1">
        <v>25331</v>
      </c>
      <c r="F13" s="6"/>
      <c r="G13" s="10"/>
      <c r="H13" s="9"/>
      <c r="I13" s="12"/>
    </row>
    <row r="14" spans="2:14" x14ac:dyDescent="0.3">
      <c r="B14" s="1" t="s">
        <v>12</v>
      </c>
      <c r="C14" s="1" t="s">
        <v>7</v>
      </c>
      <c r="D14" s="1">
        <v>406</v>
      </c>
      <c r="F14" s="2"/>
      <c r="G14" s="17"/>
      <c r="H14" s="1"/>
      <c r="I14" s="5"/>
    </row>
    <row r="15" spans="2:14" x14ac:dyDescent="0.3">
      <c r="B15" s="1" t="s">
        <v>12</v>
      </c>
      <c r="C15" s="1" t="s">
        <v>3</v>
      </c>
      <c r="D15" s="1">
        <v>5795</v>
      </c>
      <c r="F15" s="2"/>
      <c r="G15" s="17"/>
      <c r="H15" s="1"/>
      <c r="I15" s="5"/>
    </row>
    <row r="16" spans="2:14" x14ac:dyDescent="0.3">
      <c r="B16" s="1" t="s">
        <v>13</v>
      </c>
      <c r="C16" s="1" t="s">
        <v>6</v>
      </c>
      <c r="D16" s="1">
        <v>2516</v>
      </c>
      <c r="F16" s="2"/>
      <c r="G16" s="17"/>
      <c r="H16" s="1"/>
      <c r="I16" s="5"/>
    </row>
    <row r="17" spans="2:9" x14ac:dyDescent="0.3">
      <c r="B17" s="1" t="s">
        <v>13</v>
      </c>
      <c r="C17" s="1" t="s">
        <v>5</v>
      </c>
      <c r="D17" s="1">
        <v>5603</v>
      </c>
      <c r="F17" s="2"/>
      <c r="G17" s="17"/>
      <c r="H17" s="1"/>
      <c r="I17" s="5"/>
    </row>
    <row r="18" spans="2:9" x14ac:dyDescent="0.3">
      <c r="B18" s="1" t="s">
        <v>13</v>
      </c>
      <c r="C18" s="1" t="s">
        <v>4</v>
      </c>
      <c r="D18" s="1">
        <v>4310</v>
      </c>
      <c r="F18" s="2"/>
      <c r="G18" s="17"/>
      <c r="H18" s="1"/>
      <c r="I18" s="5"/>
    </row>
    <row r="19" spans="2:9" x14ac:dyDescent="0.3">
      <c r="B19" s="1" t="s">
        <v>13</v>
      </c>
      <c r="C19" s="1" t="s">
        <v>2</v>
      </c>
      <c r="D19" s="1">
        <v>118333</v>
      </c>
      <c r="F19" s="2"/>
      <c r="G19" s="17"/>
      <c r="H19" s="1"/>
      <c r="I19" s="5"/>
    </row>
    <row r="20" spans="2:9" x14ac:dyDescent="0.3">
      <c r="B20" s="1" t="s">
        <v>13</v>
      </c>
      <c r="C20" s="1" t="s">
        <v>7</v>
      </c>
      <c r="D20" s="1">
        <v>1942</v>
      </c>
    </row>
    <row r="21" spans="2:9" x14ac:dyDescent="0.3">
      <c r="B21" s="1" t="s">
        <v>13</v>
      </c>
      <c r="C21" s="1" t="s">
        <v>3</v>
      </c>
      <c r="D21" s="1">
        <v>26953</v>
      </c>
    </row>
    <row r="24" spans="2:9" x14ac:dyDescent="0.3">
      <c r="B24" s="10" t="s">
        <v>1</v>
      </c>
      <c r="C24" s="10" t="s">
        <v>0</v>
      </c>
      <c r="D24" s="16" t="s">
        <v>22</v>
      </c>
    </row>
    <row r="25" spans="2:9" x14ac:dyDescent="0.3">
      <c r="B25" s="7" t="s">
        <v>2</v>
      </c>
      <c r="C25" s="8">
        <v>269792</v>
      </c>
      <c r="D25" s="15">
        <f>SUM(C25:$C$30)/SUM($C$25:$C$30)</f>
        <v>1</v>
      </c>
    </row>
    <row r="26" spans="2:9" x14ac:dyDescent="0.3">
      <c r="B26" s="7" t="s">
        <v>3</v>
      </c>
      <c r="C26" s="8">
        <v>61252</v>
      </c>
      <c r="D26" s="15">
        <f>SUM(C26:$C$30)/SUM($C$25:$C$30)</f>
        <v>0.25774058116949217</v>
      </c>
    </row>
    <row r="27" spans="2:9" x14ac:dyDescent="0.3">
      <c r="B27" s="7" t="s">
        <v>5</v>
      </c>
      <c r="C27" s="8">
        <v>12545</v>
      </c>
      <c r="D27" s="15">
        <f>SUM(C27:$C$30)/SUM($C$25:$C$30)</f>
        <v>8.922233777381601E-2</v>
      </c>
    </row>
    <row r="28" spans="2:9" x14ac:dyDescent="0.3">
      <c r="B28" s="7" t="s">
        <v>4</v>
      </c>
      <c r="C28" s="8">
        <v>9715</v>
      </c>
      <c r="D28" s="15">
        <f>SUM(C28:$C$30)/SUM($C$25:$C$30)</f>
        <v>5.4708177201120298E-2</v>
      </c>
    </row>
    <row r="29" spans="2:9" x14ac:dyDescent="0.3">
      <c r="B29" s="7" t="s">
        <v>6</v>
      </c>
      <c r="C29" s="8">
        <v>5751</v>
      </c>
      <c r="D29" s="15">
        <f>SUM(C29:$C$30)/SUM($C$25:$C$30)</f>
        <v>2.7979993066904373E-2</v>
      </c>
    </row>
    <row r="30" spans="2:9" x14ac:dyDescent="0.3">
      <c r="B30" s="7" t="s">
        <v>7</v>
      </c>
      <c r="C30" s="8">
        <v>4419</v>
      </c>
      <c r="D30" s="15">
        <f>SUM(C30:$C$30)/SUM($C$25:$C$30)</f>
        <v>1.2157678403407122E-2</v>
      </c>
    </row>
  </sheetData>
  <conditionalFormatting sqref="I13:I1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1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Arnas Ulvydas</dc:creator>
  <cp:lastModifiedBy>Arnas Ulvydas</cp:lastModifiedBy>
  <dcterms:created xsi:type="dcterms:W3CDTF">2024-10-16T17:01:22Z</dcterms:created>
  <dcterms:modified xsi:type="dcterms:W3CDTF">2026-05-05T15:24:19Z</dcterms:modified>
</cp:coreProperties>
</file>